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opulation &amp; Bottom 10 Pe" sheetId="1" r:id="rId5"/>
    <sheet state="visible" name="Violators By Industry" sheetId="2" r:id="rId6"/>
    <sheet state="visible" name="Amount Missing By Industry" sheetId="3" r:id="rId7"/>
    <sheet state="visible" name="Grand Total Missing" sheetId="4" r:id="rId8"/>
    <sheet state="visible" name="Charts" sheetId="5" r:id="rId9"/>
    <sheet state="visible" name="Vital Info" sheetId="6" r:id="rId10"/>
  </sheets>
  <definedNames/>
  <calcPr/>
</workbook>
</file>

<file path=xl/sharedStrings.xml><?xml version="1.0" encoding="utf-8"?>
<sst xmlns="http://schemas.openxmlformats.org/spreadsheetml/2006/main" count="134" uniqueCount="105">
  <si>
    <t>Total Sampled</t>
  </si>
  <si>
    <t>Total Under Min Wage</t>
  </si>
  <si>
    <t>Percentage Under Min Wage</t>
  </si>
  <si>
    <t>Count in Bottom 10pct</t>
  </si>
  <si>
    <t>Errors in Bottom 10pct</t>
  </si>
  <si>
    <t>Rate increase from total sample to sample of bottom 10 percentile</t>
  </si>
  <si>
    <t>Title Description</t>
  </si>
  <si>
    <t>violation_count</t>
  </si>
  <si>
    <t>percent_of_total_violations</t>
  </si>
  <si>
    <t>Total Violations</t>
  </si>
  <si>
    <t>Total Percentage</t>
  </si>
  <si>
    <t>CARETAKER</t>
  </si>
  <si>
    <t>EMERGENCY MEDICAL SPECIALIST-EMT</t>
  </si>
  <si>
    <t>SCHOOL SAFETY AGENT</t>
  </si>
  <si>
    <t>TRAFFIC ENFORCEMENT AGENT</t>
  </si>
  <si>
    <t>POLICE OFFICER</t>
  </si>
  <si>
    <t>CITY CUSTODIAL ASSISTANT</t>
  </si>
  <si>
    <t>ELIGIBILITY SPECIALIST</t>
  </si>
  <si>
    <t>POLICE COMMUNICATIONS TECHNICIAN</t>
  </si>
  <si>
    <t>COMMUNITY ASSISTANT</t>
  </si>
  <si>
    <t>SPECIAL OFFICER</t>
  </si>
  <si>
    <t>ALL OTHER INDUSTRIES</t>
  </si>
  <si>
    <t>total_missed_payments</t>
  </si>
  <si>
    <t>amount_actually_paid</t>
  </si>
  <si>
    <t>percent_of_pay_missing</t>
  </si>
  <si>
    <t>Job Title</t>
  </si>
  <si>
    <t>Missed Payments</t>
  </si>
  <si>
    <t>Total Missed Payments</t>
  </si>
  <si>
    <t>Amount Actually Paid</t>
  </si>
  <si>
    <t>Percent of Pay Missing</t>
  </si>
  <si>
    <t>Liability Owed (2x)</t>
  </si>
  <si>
    <t>CLERICAL ASSOCIATE MOST MAYORAL AG</t>
  </si>
  <si>
    <t>TOTAL ALL OTHERS</t>
  </si>
  <si>
    <t>CITY PARK WORKER</t>
  </si>
  <si>
    <t>AVERAGE ALL OTHERS</t>
  </si>
  <si>
    <t>*COOK</t>
  </si>
  <si>
    <t>GRAND TOTALS</t>
  </si>
  <si>
    <t>POLICE ADMINISTRATIVE AIDE</t>
  </si>
  <si>
    <t>SANITATION ENFORCEMENT AGENT</t>
  </si>
  <si>
    <t>EMERGENCY MEDICAL SPECIALIST-PARAMEDIc</t>
  </si>
  <si>
    <t>COMMUNITY ASSOCIATE</t>
  </si>
  <si>
    <t>YOUTH DEVELOPMENT SPECIALIST</t>
  </si>
  <si>
    <t>CALL CENTER REPRESENTATIVE</t>
  </si>
  <si>
    <t>BENEFITS OPPORTUNITY SPECIALIST</t>
  </si>
  <si>
    <t>CHILD PROTECTIVE SPECIALIST</t>
  </si>
  <si>
    <t>CUSTODIAN</t>
  </si>
  <si>
    <t>CLERK TO THE BOARD</t>
  </si>
  <si>
    <t>INVESTIGATOR</t>
  </si>
  <si>
    <t>TAXI AND LIMOUSINE INSPECTOR</t>
  </si>
  <si>
    <t>CASEWORKER</t>
  </si>
  <si>
    <t>INSTITUTIONAL AIDE</t>
  </si>
  <si>
    <t>CITY PARKING EQUIPMENT SERVICE WORKER</t>
  </si>
  <si>
    <t>EVIDENCE AND PROPERTY CONTROL SPECIALIST</t>
  </si>
  <si>
    <t>CAMPUS SECURITY ASSISTANT</t>
  </si>
  <si>
    <t>DIETARY AIDE</t>
  </si>
  <si>
    <t>ASSOCIATE CORRECTIONAL COUNSELOR</t>
  </si>
  <si>
    <t>FIREFIGHTER</t>
  </si>
  <si>
    <t>APPRENTICE INSPECTOR</t>
  </si>
  <si>
    <t>SANITATION WORKER</t>
  </si>
  <si>
    <t>COMMUNITY COORDINATOR</t>
  </si>
  <si>
    <t>WATERSHED MAINTAINER</t>
  </si>
  <si>
    <t>ENVIRONMENTAL ENGINEERING INTERN</t>
  </si>
  <si>
    <t>MOTOR VEHICLE OPERATOR</t>
  </si>
  <si>
    <t>ASSISTANT CITY HIGHWAY REPAIRER</t>
  </si>
  <si>
    <t>SENIOR VOTING MACHINE TECHNICIAN</t>
  </si>
  <si>
    <t>SENIOR POLICE ADMINISTRATIVE AIDE</t>
  </si>
  <si>
    <t>TRAFFIC DEVICE MAINTAINER</t>
  </si>
  <si>
    <t>ADMINISTRATIVE PROCUREMENT ANALYST-NON-MGRL</t>
  </si>
  <si>
    <t>SUPERVISOR II</t>
  </si>
  <si>
    <t>CITY ATTENDANT</t>
  </si>
  <si>
    <t>AUTOMOTIVE SERVICE WORKER</t>
  </si>
  <si>
    <t>CHILD WELFARE SPECIALIST</t>
  </si>
  <si>
    <t>COLLEGE AIDE</t>
  </si>
  <si>
    <t>FINANCIAL CLERK</t>
  </si>
  <si>
    <t>SECRETARY</t>
  </si>
  <si>
    <t>ASSOCIATE TRAFFIC ENFORCEMENT AGENT</t>
  </si>
  <si>
    <t>SUPERVISING EMERGENCY MEDICAL SERVICE SPECIALIST</t>
  </si>
  <si>
    <t>ASSOCIATE PARK SERVICE WORKER</t>
  </si>
  <si>
    <t>ASSOCIATE FINGERPRINT TECHNICIAN</t>
  </si>
  <si>
    <t>HOMEMAKER</t>
  </si>
  <si>
    <t>LICENSED BARBER</t>
  </si>
  <si>
    <t>SUPERVISING SPECIAL OFFICER</t>
  </si>
  <si>
    <t>PUBLIC HEALTH ASSISTANT</t>
  </si>
  <si>
    <t>OCCUPATIONAL THERAPIST</t>
  </si>
  <si>
    <t>SUPERVISOR I</t>
  </si>
  <si>
    <t>CORRECTION OFFICER</t>
  </si>
  <si>
    <t>CUNY CUSTODIAL ASSISTANT</t>
  </si>
  <si>
    <t>SCHOOL CROSSING GUARD</t>
  </si>
  <si>
    <t>FINGERPRINT TECHNICIAN TRAINEE</t>
  </si>
  <si>
    <t>ADMINISTRATIVE EDUCATION OFFICER</t>
  </si>
  <si>
    <t>SCIENTIST</t>
  </si>
  <si>
    <t>PARKING CONTROL SPECIALIST</t>
  </si>
  <si>
    <t>TRAINER ASSISTANT</t>
  </si>
  <si>
    <t>Grand Total Missed Pay</t>
  </si>
  <si>
    <t>Grand Total City Pay (Total Included in Queried Data)</t>
  </si>
  <si>
    <t>Impact on Total Payroll Percent</t>
  </si>
  <si>
    <t>Liquidated Damages (100% or 2x)</t>
  </si>
  <si>
    <t>Grand Total City Pay</t>
  </si>
  <si>
    <t>Liquidated Damages (100%)</t>
  </si>
  <si>
    <t>Population</t>
  </si>
  <si>
    <t>Sample Size Used For Analysis</t>
  </si>
  <si>
    <t>Margin of error: 0.24%</t>
  </si>
  <si>
    <t>This means, in this case, there is a 95% chance that the real value is within ±0.24% of the measured/surveyed value.</t>
  </si>
  <si>
    <t>Sample size: 16601</t>
  </si>
  <si>
    <t>This means 16601 or more measurements/surveys are needed to have a confidence level of 99% that the real value is within ±1% of the measured/surveyed value.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</si>
</sst>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7.0"/>
      <color rgb="FF008000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Alignment="1" applyFont="1">
      <alignment readingOrder="0" vertical="bottom"/>
    </xf>
    <xf borderId="0" fillId="0" fontId="1" numFmtId="4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readingOrder="0" vertical="bottom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3" xfId="0" applyAlignment="1" applyFont="1" applyNumberFormat="1">
      <alignment readingOrder="0"/>
    </xf>
    <xf borderId="0" fillId="2" fontId="1" numFmtId="4" xfId="0" applyFont="1" applyNumberFormat="1"/>
    <xf borderId="0" fillId="0" fontId="1" numFmtId="4" xfId="0" applyFont="1" applyNumberFormat="1"/>
    <xf borderId="0" fillId="0" fontId="1" numFmtId="164" xfId="0" applyAlignment="1" applyFont="1" applyNumberFormat="1">
      <alignment readingOrder="0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left"/>
    </xf>
    <xf borderId="0" fillId="3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Population Under Minimum Wage (0.35%)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Pe'!$B$4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Pe'!$C$4</c:f>
              <c:numCache/>
            </c:numRef>
          </c:val>
        </c:ser>
        <c:overlap val="100"/>
        <c:axId val="1757683946"/>
        <c:axId val="1461292696"/>
      </c:barChart>
      <c:catAx>
        <c:axId val="1757683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292696"/>
      </c:catAx>
      <c:valAx>
        <c:axId val="1461292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683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Under Minimum Wage of Lower Class in the Bottom 10th Percentile (3.38%)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Pe'!$J$2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Pe'!$K$2</c:f>
              <c:numCache/>
            </c:numRef>
          </c:val>
        </c:ser>
        <c:overlap val="100"/>
        <c:axId val="759540034"/>
        <c:axId val="1969489607"/>
      </c:barChart>
      <c:catAx>
        <c:axId val="759540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489607"/>
      </c:catAx>
      <c:valAx>
        <c:axId val="1969489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540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Top 10 Minimum Wage Violators By Industry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'Violators By Industry'!$B$1</c:f>
            </c:strRef>
          </c:tx>
          <c:dPt>
            <c:idx val="0"/>
            <c:explosion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8761D"/>
              </a:solidFill>
            </c:spPr>
          </c:dPt>
          <c:dPt>
            <c:idx val="4"/>
            <c:spPr>
              <a:solidFill>
                <a:srgbClr val="93C47D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3C78D8"/>
              </a:solidFill>
            </c:spPr>
          </c:dPt>
          <c:dPt>
            <c:idx val="7"/>
            <c:spPr>
              <a:solidFill>
                <a:srgbClr val="6D9EEB"/>
              </a:solidFill>
            </c:spPr>
          </c:dPt>
          <c:dPt>
            <c:idx val="8"/>
            <c:spPr>
              <a:solidFill>
                <a:srgbClr val="A4C2F4"/>
              </a:solidFill>
            </c:spPr>
          </c:dPt>
          <c:dPt>
            <c:idx val="9"/>
            <c:spPr>
              <a:solidFill>
                <a:srgbClr val="A2C4C9"/>
              </a:solidFill>
            </c:spPr>
          </c:dPt>
          <c:dPt>
            <c:idx val="1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'Violators By Industry'!$A$2:$A$12</c:f>
            </c:strRef>
          </c:cat>
          <c:val>
            <c:numRef>
              <c:f>'Violators By Industry'!$B$2:$B$12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Missed Payments and Amount Actually Paid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'Amount Missing By Industry'!$J$1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'Amount Missing By Industry'!$G$2:$G$12</c:f>
            </c:strRef>
          </c:cat>
          <c:val>
            <c:numRef>
              <c:f>'Amount Missing By Industry'!$J$2:$J$12</c:f>
              <c:numCache/>
            </c:numRef>
          </c:val>
        </c:ser>
        <c:ser>
          <c:idx val="1"/>
          <c:order val="1"/>
          <c:tx>
            <c:strRef>
              <c:f>'Amount Missing By Industry'!$I$1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'Amount Missing By Industry'!$G$2:$G$12</c:f>
            </c:strRef>
          </c:cat>
          <c:val>
            <c:numRef>
              <c:f>'Amount Missing By Industry'!$I$2:$I$12</c:f>
              <c:numCache/>
            </c:numRef>
          </c:val>
        </c:ser>
        <c:overlap val="100"/>
        <c:axId val="875948869"/>
        <c:axId val="314358815"/>
      </c:barChart>
      <c:catAx>
        <c:axId val="875948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358815"/>
      </c:catAx>
      <c:valAx>
        <c:axId val="314358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948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of Total Pay Missing By Job Title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'Amount Missing By Industry'!$K$1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Industry'!$G$2:$G$11</c:f>
            </c:strRef>
          </c:cat>
          <c:val>
            <c:numRef>
              <c:f>'Amount Missing By Industry'!$K$2:$K$11</c:f>
              <c:numCache/>
            </c:numRef>
          </c:val>
        </c:ser>
        <c:axId val="393972696"/>
        <c:axId val="1860555550"/>
      </c:barChart>
      <c:catAx>
        <c:axId val="39397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555550"/>
      </c:catAx>
      <c:valAx>
        <c:axId val="1860555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972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Amount Actually Paid and Liability Owed (2x) of 10 Highest Violating Jobs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'Amount Missing By Industry'!$J$1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Industry'!$G$2:$G$12</c:f>
            </c:strRef>
          </c:cat>
          <c:val>
            <c:numRef>
              <c:f>'Amount Missing By Industry'!$J$2:$J$12</c:f>
              <c:numCache/>
            </c:numRef>
          </c:val>
        </c:ser>
        <c:ser>
          <c:idx val="1"/>
          <c:order val="1"/>
          <c:tx>
            <c:v>Liability Owed (100% of Total Missed)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Industry'!$G$2:$G$12</c:f>
            </c:strRef>
          </c:cat>
          <c:val>
            <c:numRef>
              <c:f>'Amount Missing By Industry'!$L$2:$L$12</c:f>
              <c:numCache/>
            </c:numRef>
          </c:val>
        </c:ser>
        <c:overlap val="100"/>
        <c:axId val="1591688474"/>
        <c:axId val="150416643"/>
      </c:barChart>
      <c:catAx>
        <c:axId val="15916884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16643"/>
      </c:catAx>
      <c:valAx>
        <c:axId val="1504166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6884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Population Under Minimum Wage (0.35%)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Pe'!$B$4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Pe'!$C$4</c:f>
              <c:numCache/>
            </c:numRef>
          </c:val>
        </c:ser>
        <c:overlap val="100"/>
        <c:axId val="1396685030"/>
        <c:axId val="227353722"/>
      </c:barChart>
      <c:catAx>
        <c:axId val="1396685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353722"/>
      </c:catAx>
      <c:valAx>
        <c:axId val="227353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685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Violation Concentration: Bottom 10th Percentile of Earners (3.38%)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Pe'!$J$2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'Total Population &amp; Bottom 10 Pe'!$K$2</c:f>
              <c:numCache/>
            </c:numRef>
          </c:val>
        </c:ser>
        <c:overlap val="100"/>
        <c:axId val="201741017"/>
        <c:axId val="1088063012"/>
      </c:barChart>
      <c:catAx>
        <c:axId val="201741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063012"/>
      </c:catAx>
      <c:valAx>
        <c:axId val="1088063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41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Arial black"/>
              </a:defRPr>
            </a:pPr>
            <a:r>
              <a:rPr b="0" sz="3600">
                <a:solidFill>
                  <a:srgbClr val="757575"/>
                </a:solidFill>
                <a:latin typeface="Arial black"/>
              </a:rPr>
              <a:t>Distributions of Violations by Occupation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'Violators By Industry'!$B$1</c:f>
            </c:strRef>
          </c:tx>
          <c:dPt>
            <c:idx val="0"/>
            <c:explosion val="0"/>
            <c:spPr>
              <a:solidFill>
                <a:srgbClr val="0B539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3D85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45818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2C4C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3C78D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A4C2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C9DAF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CFE2F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'Violators By Industry'!$A$2:$A$12</c:f>
            </c:strRef>
          </c:cat>
          <c:val>
            <c:numRef>
              <c:f>'Violators By Industry'!$B$2:$B$12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+mn-lt"/>
              </a:defRPr>
            </a:pPr>
            <a:r>
              <a:rPr b="1" sz="3000">
                <a:solidFill>
                  <a:srgbClr val="757575"/>
                </a:solidFill>
                <a:latin typeface="+mn-lt"/>
              </a:rPr>
              <a:t>Analysis of Wage Shortfalls: Paid vs. Unpaid Earnings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Amount Paid</c:v>
          </c:tx>
          <c:spPr>
            <a:solidFill>
              <a:srgbClr val="073763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Industry'!$G$2:$G$12</c:f>
            </c:strRef>
          </c:cat>
          <c:val>
            <c:numRef>
              <c:f>'Amount Missing By Industry'!$J$2:$J$12</c:f>
              <c:numCache/>
            </c:numRef>
          </c:val>
        </c:ser>
        <c:ser>
          <c:idx val="1"/>
          <c:order val="1"/>
          <c:tx>
            <c:strRef>
              <c:f>'Amount Missing By Industry'!$I$1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Industry'!$G$2:$G$12</c:f>
            </c:strRef>
          </c:cat>
          <c:val>
            <c:numRef>
              <c:f>'Amount Missing By Industry'!$I$2:$I$12</c:f>
              <c:numCache/>
            </c:numRef>
          </c:val>
        </c:ser>
        <c:overlap val="100"/>
        <c:axId val="1742681784"/>
        <c:axId val="553534441"/>
      </c:barChart>
      <c:catAx>
        <c:axId val="1742681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Job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sans-serif"/>
              </a:defRPr>
            </a:pPr>
          </a:p>
        </c:txPr>
        <c:crossAx val="553534441"/>
      </c:catAx>
      <c:valAx>
        <c:axId val="553534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681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757575"/>
                </a:solidFill>
                <a:latin typeface="Arial black"/>
              </a:defRPr>
            </a:pPr>
            <a:r>
              <a:rPr b="1" sz="3600">
                <a:solidFill>
                  <a:srgbClr val="757575"/>
                </a:solidFill>
                <a:latin typeface="Arial black"/>
              </a:rPr>
              <a:t>Percentage of Total Missing Pay By Job Title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'Amount Missing By Industry'!$K$1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Industry'!$G$2:$G$11</c:f>
            </c:strRef>
          </c:cat>
          <c:val>
            <c:numRef>
              <c:f>'Amount Missing By Industry'!$K$2:$K$11</c:f>
              <c:numCache/>
            </c:numRef>
          </c:val>
        </c:ser>
        <c:axId val="933367583"/>
        <c:axId val="1794989004"/>
      </c:barChart>
      <c:catAx>
        <c:axId val="933367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sans-serif"/>
              </a:defRPr>
            </a:pPr>
          </a:p>
        </c:txPr>
        <c:crossAx val="1794989004"/>
      </c:catAx>
      <c:valAx>
        <c:axId val="1794989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367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Arial black"/>
              </a:defRPr>
            </a:pPr>
            <a:r>
              <a:rPr b="0" sz="2400">
                <a:solidFill>
                  <a:srgbClr val="757575"/>
                </a:solidFill>
                <a:latin typeface="Arial black"/>
              </a:rPr>
              <a:t>Total Financial Liability by Job Title (NYS Labor Law Compliance)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Amount Paid (USD)</c:v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0"/>
          </c:dPt>
          <c:dLbls>
            <c:dLbl>
              <c:idx val="10"/>
              <c:numFmt formatCode="General" sourceLinked="1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Industry'!$G$2:$G$12</c:f>
            </c:strRef>
          </c:cat>
          <c:val>
            <c:numRef>
              <c:f>'Amount Missing By Industry'!$J$2:$J$12</c:f>
              <c:numCache/>
            </c:numRef>
          </c:val>
        </c:ser>
        <c:ser>
          <c:idx val="1"/>
          <c:order val="1"/>
          <c:tx>
            <c:v>Total Liability (USD)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'Amount Missing By Industry'!$G$2:$G$12</c:f>
            </c:strRef>
          </c:cat>
          <c:val>
            <c:numRef>
              <c:f>'Amount Missing By Industry'!$L$2:$L$12</c:f>
              <c:numCache/>
            </c:numRef>
          </c:val>
        </c:ser>
        <c:overlap val="100"/>
        <c:axId val="2104680283"/>
        <c:axId val="2131162085"/>
      </c:barChart>
      <c:catAx>
        <c:axId val="21046802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162085"/>
      </c:catAx>
      <c:valAx>
        <c:axId val="21311620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6802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8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600075</xdr:colOff>
      <xdr:row>8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12</xdr:row>
      <xdr:rowOff>142875</xdr:rowOff>
    </xdr:from>
    <xdr:ext cx="9696450" cy="5095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15</xdr:row>
      <xdr:rowOff>28575</xdr:rowOff>
    </xdr:from>
    <xdr:ext cx="6067425" cy="3752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180975</xdr:colOff>
      <xdr:row>14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723900</xdr:colOff>
      <xdr:row>34</xdr:row>
      <xdr:rowOff>19050</xdr:rowOff>
    </xdr:from>
    <xdr:ext cx="8677275" cy="5353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438150</xdr:colOff>
      <xdr:row>0</xdr:row>
      <xdr:rowOff>123825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476250</xdr:colOff>
      <xdr:row>18</xdr:row>
      <xdr:rowOff>85725</xdr:rowOff>
    </xdr:from>
    <xdr:ext cx="11630025" cy="6115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590550</xdr:colOff>
      <xdr:row>46</xdr:row>
      <xdr:rowOff>57150</xdr:rowOff>
    </xdr:from>
    <xdr:ext cx="12134850" cy="75152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714375</xdr:colOff>
      <xdr:row>0</xdr:row>
      <xdr:rowOff>123825</xdr:rowOff>
    </xdr:from>
    <xdr:ext cx="10801350" cy="66865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619125</xdr:colOff>
      <xdr:row>23</xdr:row>
      <xdr:rowOff>123825</xdr:rowOff>
    </xdr:from>
    <xdr:ext cx="8763000" cy="54102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2" t="s">
        <v>0</v>
      </c>
      <c r="G1" s="2" t="s">
        <v>3</v>
      </c>
      <c r="H1" s="2" t="s">
        <v>4</v>
      </c>
    </row>
    <row r="2">
      <c r="A2" s="1">
        <v>153226.0</v>
      </c>
      <c r="B2" s="1">
        <v>529.0</v>
      </c>
      <c r="C2" s="1">
        <v>0.35</v>
      </c>
      <c r="F2" s="3">
        <v>153226.0</v>
      </c>
      <c r="G2" s="3">
        <v>15642.0</v>
      </c>
      <c r="H2" s="3">
        <v>529.0</v>
      </c>
      <c r="J2" s="4">
        <f>G2-H2</f>
        <v>15113</v>
      </c>
      <c r="K2" s="1">
        <v>529.0</v>
      </c>
      <c r="M2" s="5">
        <v>0.0035</v>
      </c>
      <c r="N2" s="6">
        <f>H2/G2</f>
        <v>0.03381920471</v>
      </c>
    </row>
    <row r="3">
      <c r="M3" s="1" t="s">
        <v>5</v>
      </c>
    </row>
    <row r="4">
      <c r="B4" s="4">
        <f>A2-B2</f>
        <v>152697</v>
      </c>
      <c r="C4" s="1">
        <v>529.0</v>
      </c>
      <c r="M4" s="1">
        <f>3.38/0.35</f>
        <v>9.657142857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" t="s">
        <v>6</v>
      </c>
      <c r="B1" s="1" t="s">
        <v>7</v>
      </c>
      <c r="C1" s="1" t="s">
        <v>8</v>
      </c>
      <c r="F1" s="1" t="s">
        <v>9</v>
      </c>
      <c r="G1" s="1" t="s">
        <v>10</v>
      </c>
    </row>
    <row r="2">
      <c r="A2" s="1" t="s">
        <v>11</v>
      </c>
      <c r="B2" s="1">
        <v>154.0</v>
      </c>
      <c r="C2" s="1">
        <v>29.11</v>
      </c>
      <c r="F2" s="4">
        <f t="shared" ref="F2:G2" si="1">SUM(B2:B11)</f>
        <v>385</v>
      </c>
      <c r="G2" s="4">
        <f t="shared" si="1"/>
        <v>72.77</v>
      </c>
    </row>
    <row r="3">
      <c r="A3" s="1" t="s">
        <v>12</v>
      </c>
      <c r="B3" s="1">
        <v>52.0</v>
      </c>
      <c r="C3" s="1">
        <v>9.83</v>
      </c>
    </row>
    <row r="4">
      <c r="A4" s="1" t="s">
        <v>13</v>
      </c>
      <c r="B4" s="1">
        <v>51.0</v>
      </c>
      <c r="C4" s="1">
        <v>9.64</v>
      </c>
    </row>
    <row r="5">
      <c r="A5" s="1" t="s">
        <v>14</v>
      </c>
      <c r="B5" s="1">
        <v>28.0</v>
      </c>
      <c r="C5" s="1">
        <v>5.29</v>
      </c>
    </row>
    <row r="6">
      <c r="A6" s="1" t="s">
        <v>15</v>
      </c>
      <c r="B6" s="1">
        <v>24.0</v>
      </c>
      <c r="C6" s="1">
        <v>4.54</v>
      </c>
    </row>
    <row r="7">
      <c r="A7" s="1" t="s">
        <v>16</v>
      </c>
      <c r="B7" s="1">
        <v>21.0</v>
      </c>
      <c r="C7" s="1">
        <v>3.97</v>
      </c>
    </row>
    <row r="8">
      <c r="A8" s="1" t="s">
        <v>17</v>
      </c>
      <c r="B8" s="1">
        <v>16.0</v>
      </c>
      <c r="C8" s="1">
        <v>3.02</v>
      </c>
    </row>
    <row r="9">
      <c r="A9" s="1" t="s">
        <v>18</v>
      </c>
      <c r="B9" s="1">
        <v>16.0</v>
      </c>
      <c r="C9" s="1">
        <v>3.02</v>
      </c>
    </row>
    <row r="10">
      <c r="A10" s="1" t="s">
        <v>19</v>
      </c>
      <c r="B10" s="1">
        <v>12.0</v>
      </c>
      <c r="C10" s="1">
        <v>2.27</v>
      </c>
    </row>
    <row r="11">
      <c r="A11" s="1" t="s">
        <v>20</v>
      </c>
      <c r="B11" s="1">
        <v>11.0</v>
      </c>
      <c r="C11" s="1">
        <v>2.08</v>
      </c>
    </row>
    <row r="12">
      <c r="A12" s="1" t="s">
        <v>21</v>
      </c>
      <c r="B12" s="1">
        <v>144.0</v>
      </c>
      <c r="C12" s="1">
        <v>27.22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13.88"/>
    <col customWidth="1" min="3" max="3" width="19.63"/>
    <col customWidth="1" min="4" max="4" width="20.75"/>
    <col customWidth="1" min="5" max="5" width="21.75"/>
    <col customWidth="1" min="7" max="7" width="35.25"/>
    <col customWidth="1" min="8" max="8" width="14.5"/>
    <col customWidth="1" min="9" max="9" width="21.13"/>
    <col customWidth="1" min="10" max="10" width="18.88"/>
    <col customWidth="1" min="11" max="11" width="20.38"/>
    <col customWidth="1" min="12" max="12" width="15.88"/>
  </cols>
  <sheetData>
    <row r="1">
      <c r="B1" s="1" t="s">
        <v>6</v>
      </c>
      <c r="C1" s="1" t="s">
        <v>22</v>
      </c>
      <c r="D1" s="1" t="s">
        <v>23</v>
      </c>
      <c r="E1" s="1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1" t="s">
        <v>30</v>
      </c>
    </row>
    <row r="2">
      <c r="A2" s="1" t="s">
        <v>11</v>
      </c>
      <c r="B2" s="1">
        <v>154.0</v>
      </c>
      <c r="C2" s="8">
        <v>475283.45</v>
      </c>
      <c r="D2" s="8">
        <v>4452890.19</v>
      </c>
      <c r="E2" s="1">
        <v>10.67</v>
      </c>
      <c r="G2" s="2" t="s">
        <v>11</v>
      </c>
      <c r="H2" s="3">
        <v>154.0</v>
      </c>
      <c r="I2" s="9">
        <v>475283.45</v>
      </c>
      <c r="J2" s="9">
        <v>4452890.19</v>
      </c>
      <c r="K2" s="10">
        <v>0.1067</v>
      </c>
      <c r="L2" s="11">
        <f t="shared" ref="L2:L14" si="1">I2*2</f>
        <v>950566.9</v>
      </c>
      <c r="N2" s="4">
        <f>(L8+J8)/L8</f>
        <v>2.118397025</v>
      </c>
    </row>
    <row r="3">
      <c r="A3" s="1" t="s">
        <v>12</v>
      </c>
      <c r="B3" s="1">
        <v>52.0</v>
      </c>
      <c r="C3" s="8">
        <v>397467.56</v>
      </c>
      <c r="D3" s="8">
        <v>1474719.46</v>
      </c>
      <c r="E3" s="1">
        <v>26.95</v>
      </c>
      <c r="G3" s="2" t="s">
        <v>12</v>
      </c>
      <c r="H3" s="3">
        <v>52.0</v>
      </c>
      <c r="I3" s="9">
        <v>397467.56</v>
      </c>
      <c r="J3" s="9">
        <v>1474719.46</v>
      </c>
      <c r="K3" s="10">
        <v>0.2695</v>
      </c>
      <c r="L3" s="11">
        <f t="shared" si="1"/>
        <v>794935.12</v>
      </c>
    </row>
    <row r="4">
      <c r="A4" s="1" t="s">
        <v>13</v>
      </c>
      <c r="B4" s="1">
        <v>51.0</v>
      </c>
      <c r="C4" s="8">
        <v>239304.93</v>
      </c>
      <c r="D4" s="8">
        <v>1361115.21</v>
      </c>
      <c r="E4" s="1">
        <v>17.58</v>
      </c>
      <c r="G4" s="2" t="s">
        <v>13</v>
      </c>
      <c r="H4" s="3">
        <v>51.0</v>
      </c>
      <c r="I4" s="9">
        <v>239304.93</v>
      </c>
      <c r="J4" s="9">
        <v>1361115.21</v>
      </c>
      <c r="K4" s="10">
        <v>0.1758</v>
      </c>
      <c r="L4" s="11">
        <f t="shared" si="1"/>
        <v>478609.86</v>
      </c>
    </row>
    <row r="5">
      <c r="A5" s="1" t="s">
        <v>14</v>
      </c>
      <c r="B5" s="1">
        <v>28.0</v>
      </c>
      <c r="C5" s="8">
        <v>156113.92</v>
      </c>
      <c r="D5" s="8">
        <v>668381.68</v>
      </c>
      <c r="E5" s="1">
        <v>23.36</v>
      </c>
      <c r="G5" s="2" t="s">
        <v>14</v>
      </c>
      <c r="H5" s="3">
        <v>28.0</v>
      </c>
      <c r="I5" s="9">
        <v>156113.92</v>
      </c>
      <c r="J5" s="9">
        <v>668381.68</v>
      </c>
      <c r="K5" s="10">
        <v>0.2336</v>
      </c>
      <c r="L5" s="11">
        <f t="shared" si="1"/>
        <v>312227.84</v>
      </c>
    </row>
    <row r="6">
      <c r="A6" s="1" t="s">
        <v>15</v>
      </c>
      <c r="B6" s="1">
        <v>24.0</v>
      </c>
      <c r="C6" s="8">
        <v>178003.74</v>
      </c>
      <c r="D6" s="8">
        <v>640772.79</v>
      </c>
      <c r="E6" s="1">
        <v>27.78</v>
      </c>
      <c r="G6" s="2" t="s">
        <v>15</v>
      </c>
      <c r="H6" s="3">
        <v>24.0</v>
      </c>
      <c r="I6" s="9">
        <v>178003.74</v>
      </c>
      <c r="J6" s="9">
        <v>640772.79</v>
      </c>
      <c r="K6" s="10">
        <v>0.2778</v>
      </c>
      <c r="L6" s="11">
        <f t="shared" si="1"/>
        <v>356007.48</v>
      </c>
    </row>
    <row r="7">
      <c r="A7" s="1" t="s">
        <v>16</v>
      </c>
      <c r="B7" s="1">
        <v>21.0</v>
      </c>
      <c r="C7" s="8">
        <v>119217.6</v>
      </c>
      <c r="D7" s="8">
        <v>519285.37</v>
      </c>
      <c r="E7" s="1">
        <v>22.96</v>
      </c>
      <c r="G7" s="2" t="s">
        <v>16</v>
      </c>
      <c r="H7" s="3">
        <v>21.0</v>
      </c>
      <c r="I7" s="9">
        <v>119217.6</v>
      </c>
      <c r="J7" s="9">
        <v>519285.37</v>
      </c>
      <c r="K7" s="10">
        <v>0.2296</v>
      </c>
      <c r="L7" s="11">
        <f t="shared" si="1"/>
        <v>238435.2</v>
      </c>
    </row>
    <row r="8">
      <c r="A8" s="1" t="s">
        <v>17</v>
      </c>
      <c r="B8" s="1">
        <v>16.0</v>
      </c>
      <c r="C8" s="8">
        <v>122954.23</v>
      </c>
      <c r="D8" s="8">
        <v>275023.29</v>
      </c>
      <c r="E8" s="1">
        <v>44.71</v>
      </c>
      <c r="G8" s="2" t="s">
        <v>17</v>
      </c>
      <c r="H8" s="3">
        <v>16.0</v>
      </c>
      <c r="I8" s="9">
        <v>122954.23</v>
      </c>
      <c r="J8" s="9">
        <v>275023.29</v>
      </c>
      <c r="K8" s="10">
        <v>0.4471</v>
      </c>
      <c r="L8" s="11">
        <f t="shared" si="1"/>
        <v>245908.46</v>
      </c>
    </row>
    <row r="9">
      <c r="A9" s="1" t="s">
        <v>18</v>
      </c>
      <c r="B9" s="1">
        <v>16.0</v>
      </c>
      <c r="C9" s="8">
        <v>97243.94</v>
      </c>
      <c r="D9" s="8">
        <v>321233.18</v>
      </c>
      <c r="E9" s="1">
        <v>30.27</v>
      </c>
      <c r="G9" s="2" t="s">
        <v>18</v>
      </c>
      <c r="H9" s="3">
        <v>16.0</v>
      </c>
      <c r="I9" s="9">
        <v>97243.94</v>
      </c>
      <c r="J9" s="9">
        <v>321233.18</v>
      </c>
      <c r="K9" s="10">
        <v>0.3027</v>
      </c>
      <c r="L9" s="11">
        <f t="shared" si="1"/>
        <v>194487.88</v>
      </c>
    </row>
    <row r="10">
      <c r="A10" s="1" t="s">
        <v>19</v>
      </c>
      <c r="B10" s="1">
        <v>12.0</v>
      </c>
      <c r="C10" s="8">
        <v>84775.99</v>
      </c>
      <c r="D10" s="8">
        <v>267088.82</v>
      </c>
      <c r="E10" s="1">
        <v>31.74</v>
      </c>
      <c r="G10" s="2" t="s">
        <v>19</v>
      </c>
      <c r="H10" s="3">
        <v>12.0</v>
      </c>
      <c r="I10" s="9">
        <v>84775.99</v>
      </c>
      <c r="J10" s="9">
        <v>267088.82</v>
      </c>
      <c r="K10" s="10">
        <v>0.3174</v>
      </c>
      <c r="L10" s="11">
        <f t="shared" si="1"/>
        <v>169551.98</v>
      </c>
    </row>
    <row r="11">
      <c r="A11" s="1" t="s">
        <v>31</v>
      </c>
      <c r="B11" s="1">
        <v>11.0</v>
      </c>
      <c r="C11" s="8">
        <v>86392.85</v>
      </c>
      <c r="D11" s="8">
        <v>226216.15</v>
      </c>
      <c r="E11" s="1">
        <v>38.19</v>
      </c>
      <c r="G11" s="2" t="s">
        <v>20</v>
      </c>
      <c r="H11" s="3">
        <v>11.0</v>
      </c>
      <c r="I11" s="9">
        <v>73929.2</v>
      </c>
      <c r="J11" s="9">
        <v>233441.87</v>
      </c>
      <c r="K11" s="10">
        <v>0.3167</v>
      </c>
      <c r="L11" s="11">
        <f t="shared" si="1"/>
        <v>147858.4</v>
      </c>
    </row>
    <row r="12">
      <c r="A12" s="1" t="s">
        <v>20</v>
      </c>
      <c r="B12" s="1">
        <v>11.0</v>
      </c>
      <c r="C12" s="8">
        <v>73929.2</v>
      </c>
      <c r="D12" s="8">
        <v>233441.87</v>
      </c>
      <c r="E12" s="1">
        <v>31.67</v>
      </c>
      <c r="G12" s="1" t="s">
        <v>32</v>
      </c>
      <c r="H12" s="4">
        <f t="shared" ref="H12:K12" si="2">SUM(B11,B13:B70)</f>
        <v>144</v>
      </c>
      <c r="I12" s="11">
        <f t="shared" si="2"/>
        <v>1144410.05</v>
      </c>
      <c r="J12" s="11">
        <f t="shared" si="2"/>
        <v>2867817.21</v>
      </c>
      <c r="K12" s="4">
        <f t="shared" si="2"/>
        <v>56354.65</v>
      </c>
      <c r="L12" s="11">
        <f t="shared" si="1"/>
        <v>2288820.1</v>
      </c>
    </row>
    <row r="13">
      <c r="A13" s="1" t="s">
        <v>33</v>
      </c>
      <c r="B13" s="1">
        <v>10.0</v>
      </c>
      <c r="C13" s="8">
        <v>60104.24</v>
      </c>
      <c r="D13" s="8">
        <v>259731.76</v>
      </c>
      <c r="E13" s="1">
        <v>23.14</v>
      </c>
      <c r="G13" s="12" t="s">
        <v>34</v>
      </c>
      <c r="H13" s="13">
        <f>AVERAGE($B$11,$B$13,$B$14:$B$70)</f>
        <v>2.440677966</v>
      </c>
      <c r="I13" s="14">
        <f>AVERAGE($C$11,$C$13,$C$14:$C$70)</f>
        <v>19396.78051</v>
      </c>
      <c r="J13" s="14">
        <f>AVERAGE($D$11,$D$13,$D$14:$D$70)</f>
        <v>48607.07136</v>
      </c>
      <c r="K13" s="13">
        <f>AVERAGE($E$11,$E$13,$E$14:$E$70)</f>
        <v>955.1635593</v>
      </c>
      <c r="L13" s="11">
        <f t="shared" si="1"/>
        <v>38793.56102</v>
      </c>
    </row>
    <row r="14">
      <c r="A14" s="1" t="s">
        <v>35</v>
      </c>
      <c r="B14" s="1">
        <v>9.0</v>
      </c>
      <c r="C14" s="8">
        <v>115327.92</v>
      </c>
      <c r="D14" s="8">
        <v>172715.05</v>
      </c>
      <c r="E14" s="1">
        <v>66.77</v>
      </c>
      <c r="G14" s="1" t="s">
        <v>36</v>
      </c>
      <c r="H14" s="4">
        <f>SUM($B$2:$B$70)</f>
        <v>529</v>
      </c>
      <c r="I14" s="11">
        <f>SUM($C$2:$C$70)</f>
        <v>3088704.61</v>
      </c>
      <c r="J14" s="11">
        <f>SUM($D$2:$D$70)</f>
        <v>13081769.07</v>
      </c>
      <c r="K14" s="4">
        <f>SUM($E$2:$E$70)</f>
        <v>56622.34</v>
      </c>
      <c r="L14" s="11">
        <f t="shared" si="1"/>
        <v>6177409.22</v>
      </c>
    </row>
    <row r="15">
      <c r="A15" s="1" t="s">
        <v>37</v>
      </c>
      <c r="B15" s="1">
        <v>7.0</v>
      </c>
      <c r="C15" s="8">
        <v>30976.71</v>
      </c>
      <c r="D15" s="8">
        <v>124488.77</v>
      </c>
      <c r="E15" s="1">
        <v>24.88</v>
      </c>
    </row>
    <row r="16">
      <c r="A16" s="1" t="s">
        <v>38</v>
      </c>
      <c r="B16" s="1">
        <v>6.0</v>
      </c>
      <c r="C16" s="8">
        <v>16679.22</v>
      </c>
      <c r="D16" s="8">
        <v>141569.8</v>
      </c>
      <c r="E16" s="1">
        <v>11.78</v>
      </c>
    </row>
    <row r="17">
      <c r="A17" s="1" t="s">
        <v>39</v>
      </c>
      <c r="B17" s="1">
        <v>5.0</v>
      </c>
      <c r="C17" s="8">
        <v>40922.34</v>
      </c>
      <c r="D17" s="8">
        <v>118804.75</v>
      </c>
      <c r="E17" s="1">
        <v>34.45</v>
      </c>
    </row>
    <row r="18">
      <c r="A18" s="1" t="s">
        <v>40</v>
      </c>
      <c r="B18" s="1">
        <v>5.0</v>
      </c>
      <c r="C18" s="8">
        <v>63564.9</v>
      </c>
      <c r="D18" s="8">
        <v>47892.6</v>
      </c>
      <c r="E18" s="1">
        <v>132.72</v>
      </c>
    </row>
    <row r="19">
      <c r="A19" s="1" t="s">
        <v>41</v>
      </c>
      <c r="B19" s="1">
        <v>5.0</v>
      </c>
      <c r="C19" s="8">
        <v>10289.11</v>
      </c>
      <c r="D19" s="8">
        <v>103568.65</v>
      </c>
      <c r="E19" s="1">
        <v>9.93</v>
      </c>
    </row>
    <row r="20">
      <c r="A20" s="1" t="s">
        <v>42</v>
      </c>
      <c r="B20" s="1">
        <v>5.0</v>
      </c>
      <c r="C20" s="8">
        <v>33036.73</v>
      </c>
      <c r="D20" s="8">
        <v>116469.77</v>
      </c>
      <c r="E20" s="1">
        <v>28.37</v>
      </c>
    </row>
    <row r="21">
      <c r="A21" s="1" t="s">
        <v>43</v>
      </c>
      <c r="B21" s="1">
        <v>4.0</v>
      </c>
      <c r="C21" s="8">
        <v>26254.56</v>
      </c>
      <c r="D21" s="8">
        <v>78751.44</v>
      </c>
      <c r="E21" s="1">
        <v>33.34</v>
      </c>
    </row>
    <row r="22">
      <c r="A22" s="1" t="s">
        <v>44</v>
      </c>
      <c r="B22" s="1">
        <v>3.0</v>
      </c>
      <c r="C22" s="8">
        <v>3889.48</v>
      </c>
      <c r="D22" s="8">
        <v>51897.02</v>
      </c>
      <c r="E22" s="1">
        <v>7.49</v>
      </c>
    </row>
    <row r="23">
      <c r="A23" s="1" t="s">
        <v>45</v>
      </c>
      <c r="B23" s="1">
        <v>3.0</v>
      </c>
      <c r="C23" s="8">
        <v>8930.4</v>
      </c>
      <c r="D23" s="8">
        <v>90993.6</v>
      </c>
      <c r="E23" s="1">
        <v>9.81</v>
      </c>
    </row>
    <row r="24">
      <c r="A24" s="1" t="s">
        <v>46</v>
      </c>
      <c r="B24" s="1">
        <v>3.0</v>
      </c>
      <c r="C24" s="8">
        <v>17260.25</v>
      </c>
      <c r="D24" s="8">
        <v>67926.77</v>
      </c>
      <c r="E24" s="1">
        <v>25.41</v>
      </c>
    </row>
    <row r="25">
      <c r="A25" s="1" t="s">
        <v>47</v>
      </c>
      <c r="B25" s="1">
        <v>3.0</v>
      </c>
      <c r="C25" s="8">
        <v>62007.4</v>
      </c>
      <c r="D25" s="8">
        <v>28082.6</v>
      </c>
      <c r="E25" s="1">
        <v>220.8</v>
      </c>
    </row>
    <row r="26">
      <c r="A26" s="1" t="s">
        <v>48</v>
      </c>
      <c r="B26" s="1">
        <v>3.0</v>
      </c>
      <c r="C26" s="8">
        <v>8507.2</v>
      </c>
      <c r="D26" s="8">
        <v>94452.8</v>
      </c>
      <c r="E26" s="1">
        <v>9.01</v>
      </c>
    </row>
    <row r="27">
      <c r="A27" s="1" t="s">
        <v>49</v>
      </c>
      <c r="B27" s="1">
        <v>3.0</v>
      </c>
      <c r="C27" s="8">
        <v>3941.5</v>
      </c>
      <c r="D27" s="8">
        <v>64863.5</v>
      </c>
      <c r="E27" s="1">
        <v>6.08</v>
      </c>
    </row>
    <row r="28">
      <c r="A28" s="1" t="s">
        <v>50</v>
      </c>
      <c r="B28" s="1">
        <v>3.0</v>
      </c>
      <c r="C28" s="8">
        <v>16279.45</v>
      </c>
      <c r="D28" s="8">
        <v>62178.05</v>
      </c>
      <c r="E28" s="1">
        <v>26.18</v>
      </c>
    </row>
    <row r="29">
      <c r="A29" s="1" t="s">
        <v>51</v>
      </c>
      <c r="B29" s="1">
        <v>3.0</v>
      </c>
      <c r="C29" s="15">
        <v>67028.0</v>
      </c>
      <c r="D29" s="15">
        <v>30652.0</v>
      </c>
      <c r="E29" s="1">
        <v>218.67</v>
      </c>
    </row>
    <row r="30">
      <c r="A30" s="1" t="s">
        <v>52</v>
      </c>
      <c r="B30" s="1">
        <v>2.0</v>
      </c>
      <c r="C30" s="8">
        <v>36391.6</v>
      </c>
      <c r="D30" s="8">
        <v>19048.4</v>
      </c>
      <c r="E30" s="1">
        <v>191.05</v>
      </c>
    </row>
    <row r="31">
      <c r="A31" s="1" t="s">
        <v>53</v>
      </c>
      <c r="B31" s="1">
        <v>2.0</v>
      </c>
      <c r="C31" s="8">
        <v>3231.2</v>
      </c>
      <c r="D31" s="8">
        <v>58148.8</v>
      </c>
      <c r="E31" s="1">
        <v>5.56</v>
      </c>
    </row>
    <row r="32">
      <c r="A32" s="1" t="s">
        <v>54</v>
      </c>
      <c r="B32" s="1">
        <v>2.0</v>
      </c>
      <c r="C32" s="8">
        <v>32614.4</v>
      </c>
      <c r="D32" s="8">
        <v>36025.6</v>
      </c>
      <c r="E32" s="1">
        <v>90.53</v>
      </c>
    </row>
    <row r="33">
      <c r="A33" s="1" t="s">
        <v>55</v>
      </c>
      <c r="B33" s="1">
        <v>2.0</v>
      </c>
      <c r="C33" s="8">
        <v>27036.1</v>
      </c>
      <c r="D33" s="8">
        <v>22628.9</v>
      </c>
      <c r="E33" s="1">
        <v>119.48</v>
      </c>
    </row>
    <row r="34">
      <c r="A34" s="1" t="s">
        <v>56</v>
      </c>
      <c r="B34" s="1">
        <v>2.0</v>
      </c>
      <c r="C34" s="8">
        <v>11737.49</v>
      </c>
      <c r="D34" s="8">
        <v>52471.1</v>
      </c>
      <c r="E34" s="1">
        <v>22.37</v>
      </c>
    </row>
    <row r="35">
      <c r="A35" s="1" t="s">
        <v>57</v>
      </c>
      <c r="B35" s="1">
        <v>2.0</v>
      </c>
      <c r="C35" s="8">
        <v>5678.4</v>
      </c>
      <c r="D35" s="8">
        <v>62961.6</v>
      </c>
      <c r="E35" s="1">
        <v>9.02</v>
      </c>
    </row>
    <row r="36">
      <c r="A36" s="1" t="s">
        <v>58</v>
      </c>
      <c r="B36" s="1">
        <v>2.0</v>
      </c>
      <c r="C36" s="8">
        <v>11332.86</v>
      </c>
      <c r="D36" s="8">
        <v>47595.73</v>
      </c>
      <c r="E36" s="1">
        <v>23.81</v>
      </c>
    </row>
    <row r="37">
      <c r="A37" s="1" t="s">
        <v>59</v>
      </c>
      <c r="B37" s="1">
        <v>2.0</v>
      </c>
      <c r="C37" s="15">
        <v>5523.0</v>
      </c>
      <c r="D37" s="15">
        <v>42987.0</v>
      </c>
      <c r="E37" s="1">
        <v>12.85</v>
      </c>
    </row>
    <row r="38">
      <c r="A38" s="1" t="s">
        <v>60</v>
      </c>
      <c r="B38" s="1">
        <v>2.0</v>
      </c>
      <c r="C38" s="15">
        <v>34512.0</v>
      </c>
      <c r="D38" s="15">
        <v>34656.0</v>
      </c>
      <c r="E38" s="1">
        <v>99.58</v>
      </c>
    </row>
    <row r="39">
      <c r="A39" s="1" t="s">
        <v>61</v>
      </c>
      <c r="B39" s="1">
        <v>2.0</v>
      </c>
      <c r="C39" s="1">
        <v>326.01</v>
      </c>
      <c r="D39" s="8">
        <v>10432.48</v>
      </c>
      <c r="E39" s="1">
        <v>3.13</v>
      </c>
    </row>
    <row r="40">
      <c r="A40" s="1" t="s">
        <v>62</v>
      </c>
      <c r="B40" s="1">
        <v>2.0</v>
      </c>
      <c r="C40" s="15">
        <v>41640.0</v>
      </c>
      <c r="D40" s="15">
        <v>24360.0</v>
      </c>
      <c r="E40" s="1">
        <v>170.94</v>
      </c>
    </row>
    <row r="41">
      <c r="A41" s="1" t="s">
        <v>63</v>
      </c>
      <c r="B41" s="1">
        <v>2.0</v>
      </c>
      <c r="C41" s="8">
        <v>18540.48</v>
      </c>
      <c r="D41" s="8">
        <v>45083.52</v>
      </c>
      <c r="E41" s="1">
        <v>41.12</v>
      </c>
    </row>
    <row r="42">
      <c r="A42" s="1" t="s">
        <v>64</v>
      </c>
      <c r="B42" s="1">
        <v>1.0</v>
      </c>
      <c r="C42" s="8">
        <v>1856.4</v>
      </c>
      <c r="D42" s="8">
        <v>28173.6</v>
      </c>
      <c r="E42" s="1">
        <v>6.59</v>
      </c>
    </row>
    <row r="43">
      <c r="A43" s="1" t="s">
        <v>65</v>
      </c>
      <c r="B43" s="1">
        <v>1.0</v>
      </c>
      <c r="C43" s="8">
        <v>19910.8</v>
      </c>
      <c r="D43" s="8">
        <v>10119.2</v>
      </c>
      <c r="E43" s="1">
        <v>196.76</v>
      </c>
    </row>
    <row r="44">
      <c r="A44" s="1" t="s">
        <v>66</v>
      </c>
      <c r="B44" s="1">
        <v>1.0</v>
      </c>
      <c r="C44" s="8">
        <v>12147.2</v>
      </c>
      <c r="D44" s="8">
        <v>22172.8</v>
      </c>
      <c r="E44" s="1">
        <v>54.78</v>
      </c>
    </row>
    <row r="45">
      <c r="A45" s="1" t="s">
        <v>67</v>
      </c>
      <c r="B45" s="1">
        <v>1.0</v>
      </c>
      <c r="C45" s="8">
        <v>3662.4</v>
      </c>
      <c r="D45" s="8">
        <v>24057.6</v>
      </c>
      <c r="E45" s="1">
        <v>15.22</v>
      </c>
    </row>
    <row r="46">
      <c r="A46" s="1" t="s">
        <v>68</v>
      </c>
      <c r="B46" s="1">
        <v>1.0</v>
      </c>
      <c r="C46" s="1">
        <v>796.6</v>
      </c>
      <c r="D46" s="1">
        <v>358.4</v>
      </c>
      <c r="E46" s="1">
        <v>222.27</v>
      </c>
    </row>
    <row r="47">
      <c r="A47" s="1" t="s">
        <v>69</v>
      </c>
      <c r="B47" s="1">
        <v>1.0</v>
      </c>
      <c r="C47" s="8">
        <v>4942.12</v>
      </c>
      <c r="D47" s="8">
        <v>30055.7</v>
      </c>
      <c r="E47" s="1">
        <v>16.44</v>
      </c>
    </row>
    <row r="48">
      <c r="A48" s="1" t="s">
        <v>70</v>
      </c>
      <c r="B48" s="1">
        <v>1.0</v>
      </c>
      <c r="C48" s="1">
        <v>187.2</v>
      </c>
      <c r="D48" s="8">
        <v>34132.8</v>
      </c>
      <c r="E48" s="1">
        <v>0.55</v>
      </c>
    </row>
    <row r="49">
      <c r="A49" s="1" t="s">
        <v>71</v>
      </c>
      <c r="B49" s="1">
        <v>1.0</v>
      </c>
      <c r="C49" s="8">
        <v>5114.2</v>
      </c>
      <c r="D49" s="8">
        <v>24915.8</v>
      </c>
      <c r="E49" s="1">
        <v>20.53</v>
      </c>
    </row>
    <row r="50">
      <c r="A50" s="1" t="s">
        <v>72</v>
      </c>
      <c r="B50" s="1">
        <v>1.0</v>
      </c>
      <c r="C50" s="1">
        <v>141.0</v>
      </c>
      <c r="D50" s="8">
        <v>19246.5</v>
      </c>
      <c r="E50" s="1">
        <v>0.73</v>
      </c>
    </row>
    <row r="51">
      <c r="A51" s="1" t="s">
        <v>73</v>
      </c>
      <c r="B51" s="1">
        <v>1.0</v>
      </c>
      <c r="C51" s="8">
        <v>4222.4</v>
      </c>
      <c r="D51" s="8">
        <v>14257.6</v>
      </c>
      <c r="E51" s="1">
        <v>29.62</v>
      </c>
    </row>
    <row r="52">
      <c r="A52" s="1" t="s">
        <v>74</v>
      </c>
      <c r="B52" s="1">
        <v>1.0</v>
      </c>
      <c r="C52" s="1">
        <v>673.4</v>
      </c>
      <c r="D52" s="8">
        <v>29356.6</v>
      </c>
      <c r="E52" s="1">
        <v>2.29</v>
      </c>
    </row>
    <row r="53">
      <c r="A53" s="1" t="s">
        <v>75</v>
      </c>
      <c r="B53" s="1">
        <v>1.0</v>
      </c>
      <c r="C53" s="15">
        <v>12144.0</v>
      </c>
      <c r="D53" s="15">
        <v>18216.0</v>
      </c>
      <c r="E53" s="1">
        <v>66.67</v>
      </c>
    </row>
    <row r="54">
      <c r="A54" s="1" t="s">
        <v>76</v>
      </c>
      <c r="B54" s="1">
        <v>1.0</v>
      </c>
      <c r="C54" s="15">
        <v>32344.0</v>
      </c>
      <c r="D54" s="15">
        <v>1976.0</v>
      </c>
      <c r="E54" s="8">
        <v>1636.84</v>
      </c>
    </row>
    <row r="55">
      <c r="A55" s="1" t="s">
        <v>77</v>
      </c>
      <c r="B55" s="1">
        <v>1.0</v>
      </c>
      <c r="C55" s="8">
        <v>11640.72</v>
      </c>
      <c r="D55" s="8">
        <v>10667.28</v>
      </c>
      <c r="E55" s="1">
        <v>109.13</v>
      </c>
    </row>
    <row r="56">
      <c r="A56" s="1" t="s">
        <v>78</v>
      </c>
      <c r="B56" s="1">
        <v>1.0</v>
      </c>
      <c r="C56" s="8">
        <v>28717.5</v>
      </c>
      <c r="D56" s="1">
        <v>157.5</v>
      </c>
      <c r="E56" s="8">
        <v>18233.33</v>
      </c>
    </row>
    <row r="57">
      <c r="A57" s="1" t="s">
        <v>79</v>
      </c>
      <c r="B57" s="1">
        <v>1.0</v>
      </c>
      <c r="C57" s="8">
        <v>6291.25</v>
      </c>
      <c r="D57" s="8">
        <v>8146.25</v>
      </c>
      <c r="E57" s="1">
        <v>77.23</v>
      </c>
    </row>
    <row r="58">
      <c r="A58" s="1" t="s">
        <v>80</v>
      </c>
      <c r="B58" s="1">
        <v>1.0</v>
      </c>
      <c r="C58" s="8">
        <v>15761.2</v>
      </c>
      <c r="D58" s="8">
        <v>14268.8</v>
      </c>
      <c r="E58" s="1">
        <v>110.46</v>
      </c>
    </row>
    <row r="59">
      <c r="A59" s="1" t="s">
        <v>81</v>
      </c>
      <c r="B59" s="1">
        <v>1.0</v>
      </c>
      <c r="C59" s="15">
        <v>13980.0</v>
      </c>
      <c r="D59" s="15">
        <v>19020.0</v>
      </c>
      <c r="E59" s="1">
        <v>73.5</v>
      </c>
    </row>
    <row r="60">
      <c r="A60" s="1" t="s">
        <v>82</v>
      </c>
      <c r="B60" s="1">
        <v>1.0</v>
      </c>
      <c r="C60" s="8">
        <v>7100.1</v>
      </c>
      <c r="D60" s="8">
        <v>19464.9</v>
      </c>
      <c r="E60" s="1">
        <v>36.48</v>
      </c>
    </row>
    <row r="61">
      <c r="A61" s="1" t="s">
        <v>83</v>
      </c>
      <c r="B61" s="1">
        <v>1.0</v>
      </c>
      <c r="C61" s="8">
        <v>3095.04</v>
      </c>
      <c r="D61" s="8">
        <v>24360.96</v>
      </c>
      <c r="E61" s="1">
        <v>12.7</v>
      </c>
    </row>
    <row r="62">
      <c r="A62" s="1" t="s">
        <v>84</v>
      </c>
      <c r="B62" s="1">
        <v>1.0</v>
      </c>
      <c r="C62" s="8">
        <v>5805.8</v>
      </c>
      <c r="D62" s="8">
        <v>24224.2</v>
      </c>
      <c r="E62" s="1">
        <v>23.97</v>
      </c>
    </row>
    <row r="63">
      <c r="A63" s="1" t="s">
        <v>85</v>
      </c>
      <c r="B63" s="1">
        <v>1.0</v>
      </c>
      <c r="C63" s="8">
        <v>1151.2</v>
      </c>
      <c r="D63" s="1">
        <v>168.8</v>
      </c>
      <c r="E63" s="1">
        <v>681.99</v>
      </c>
    </row>
    <row r="64">
      <c r="A64" s="1" t="s">
        <v>86</v>
      </c>
      <c r="B64" s="1">
        <v>1.0</v>
      </c>
      <c r="C64" s="8">
        <v>2607.6</v>
      </c>
      <c r="D64" s="8">
        <v>24452.4</v>
      </c>
      <c r="E64" s="1">
        <v>10.66</v>
      </c>
    </row>
    <row r="65">
      <c r="A65" s="1" t="s">
        <v>87</v>
      </c>
      <c r="B65" s="1">
        <v>1.0</v>
      </c>
      <c r="C65" s="1">
        <v>956.8</v>
      </c>
      <c r="D65" s="8">
        <v>33363.2</v>
      </c>
      <c r="E65" s="1">
        <v>2.87</v>
      </c>
    </row>
    <row r="66">
      <c r="A66" s="1" t="s">
        <v>88</v>
      </c>
      <c r="B66" s="1">
        <v>1.0</v>
      </c>
      <c r="C66" s="8">
        <v>4657.72</v>
      </c>
      <c r="D66" s="8">
        <v>25362.71</v>
      </c>
      <c r="E66" s="1">
        <v>18.36</v>
      </c>
    </row>
    <row r="67">
      <c r="A67" s="1" t="s">
        <v>89</v>
      </c>
      <c r="B67" s="1">
        <v>1.0</v>
      </c>
      <c r="C67" s="15">
        <v>7315.0</v>
      </c>
      <c r="D67" s="15">
        <v>14630.0</v>
      </c>
      <c r="E67" s="1">
        <v>50.0</v>
      </c>
    </row>
    <row r="68">
      <c r="A68" s="1" t="s">
        <v>90</v>
      </c>
      <c r="B68" s="1">
        <v>1.0</v>
      </c>
      <c r="C68" s="15">
        <v>29939.0</v>
      </c>
      <c r="D68" s="1">
        <v>91.0</v>
      </c>
      <c r="E68" s="15">
        <v>32900.0</v>
      </c>
    </row>
    <row r="69">
      <c r="A69" s="1" t="s">
        <v>91</v>
      </c>
      <c r="B69" s="1">
        <v>1.0</v>
      </c>
      <c r="C69" s="15">
        <v>2808.0</v>
      </c>
      <c r="D69" s="15">
        <v>31512.0</v>
      </c>
      <c r="E69" s="1">
        <v>8.91</v>
      </c>
    </row>
    <row r="70">
      <c r="A70" s="1" t="s">
        <v>92</v>
      </c>
      <c r="B70" s="1">
        <v>1.0</v>
      </c>
      <c r="C70" s="8">
        <v>4485.6</v>
      </c>
      <c r="D70" s="8">
        <v>23234.4</v>
      </c>
      <c r="E70" s="1">
        <v>19.31</v>
      </c>
    </row>
    <row r="71">
      <c r="A71" s="12" t="s">
        <v>34</v>
      </c>
      <c r="B71" s="13">
        <f>AVERAGE($B$11,$B$13,$B$14:$B$70)</f>
        <v>2.440677966</v>
      </c>
      <c r="C71" s="16">
        <f>AVERAGE($C$11,$C$13,$C$14:$C$70)</f>
        <v>19396.78051</v>
      </c>
      <c r="D71" s="16">
        <f>AVERAGE($D$11,$D$13,$D$14:$D$70)</f>
        <v>48607.07136</v>
      </c>
      <c r="E71" s="13">
        <f>AVERAGE($E$11,$E$13,$E$14:$E$70)</f>
        <v>955.1635593</v>
      </c>
    </row>
    <row r="72">
      <c r="A72" s="1" t="s">
        <v>36</v>
      </c>
      <c r="B72" s="4">
        <f>SUM($B$2:$B$70)</f>
        <v>529</v>
      </c>
      <c r="C72" s="17">
        <f>SUM($C$2:$C$70)</f>
        <v>3088704.61</v>
      </c>
      <c r="D72" s="17">
        <f>SUM($D$2:$D$70)</f>
        <v>13081769.07</v>
      </c>
      <c r="E72" s="4">
        <f>SUM($E$2:$E$70)</f>
        <v>56622.34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41.88"/>
    <col customWidth="1" min="3" max="3" width="25.75"/>
    <col customWidth="1" min="4" max="4" width="27.5"/>
    <col customWidth="1" min="6" max="6" width="25.0"/>
    <col customWidth="1" min="7" max="7" width="24.0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F1" s="1" t="s">
        <v>97</v>
      </c>
      <c r="G1" s="1" t="s">
        <v>98</v>
      </c>
      <c r="H1" s="1"/>
    </row>
    <row r="2">
      <c r="A2" s="18">
        <v>3088704.6266</v>
      </c>
      <c r="B2" s="18">
        <v>1.34740519194357E10</v>
      </c>
      <c r="C2" s="5">
        <v>0.0229</v>
      </c>
      <c r="D2" s="11">
        <f>A2*2</f>
        <v>6177409.253</v>
      </c>
      <c r="F2" s="18">
        <v>1.34740519194357E10</v>
      </c>
      <c r="G2" s="18">
        <v>6177409.25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3.5"/>
    <col customWidth="1" min="3" max="3" width="29.13"/>
    <col customWidth="1" min="4" max="4" width="26.88"/>
    <col customWidth="1" min="6" max="6" width="50.13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F1" s="1" t="s">
        <v>5</v>
      </c>
    </row>
    <row r="2">
      <c r="A2" s="18">
        <v>3088704.6266</v>
      </c>
      <c r="B2" s="18">
        <v>1.34740519194357E10</v>
      </c>
      <c r="C2" s="5">
        <v>0.0229</v>
      </c>
      <c r="D2" s="11">
        <f>A2*2</f>
        <v>6177409.253</v>
      </c>
      <c r="F2" s="1">
        <f>3.38/0.35</f>
        <v>9.657142857</v>
      </c>
    </row>
    <row r="4">
      <c r="C4" s="6">
        <f>D2/B2</f>
        <v>0.000458467081</v>
      </c>
    </row>
    <row r="6">
      <c r="A6" s="1" t="s">
        <v>99</v>
      </c>
      <c r="B6" s="1" t="s">
        <v>100</v>
      </c>
      <c r="D6" s="19" t="s">
        <v>101</v>
      </c>
    </row>
    <row r="7">
      <c r="A7" s="15">
        <v>6775830.0</v>
      </c>
      <c r="B7" s="15">
        <v>153226.0</v>
      </c>
      <c r="D7" s="20"/>
    </row>
    <row r="8">
      <c r="D8" s="21" t="s">
        <v>102</v>
      </c>
    </row>
    <row r="10">
      <c r="D10" s="19" t="s">
        <v>103</v>
      </c>
    </row>
    <row r="11">
      <c r="D11" s="20"/>
    </row>
    <row r="12">
      <c r="D12" s="21" t="s">
        <v>104</v>
      </c>
    </row>
  </sheetData>
  <drawing r:id="rId1"/>
</worksheet>
</file>